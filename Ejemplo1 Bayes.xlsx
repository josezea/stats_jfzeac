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ing digital" sheetId="1" state="visible" r:id="rId3"/>
    <sheet name="detector enfermeda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<sst xmlns="http://schemas.openxmlformats.org/spreadsheetml/2006/main" count="41" uniqueCount="41">
  <si>
    <t xml:space="preserve">B: Ver juegos de PC</t>
  </si>
  <si>
    <t xml:space="preserve">X (mulktipl)</t>
  </si>
  <si>
    <t xml:space="preserve">P(A / B) = P(A ∩ B) / P(B)</t>
  </si>
  <si>
    <t xml:space="preserve">Nuevos</t>
  </si>
  <si>
    <t xml:space="preserve">Encuestas</t>
  </si>
  <si>
    <t xml:space="preserve">Despejando:</t>
  </si>
  <si>
    <t xml:space="preserve">P(A₁) = 0,6</t>
  </si>
  <si>
    <t xml:space="preserve">P(B/A₁ ) = 0,05</t>
  </si>
  <si>
    <t xml:space="preserve">P(B  ∩  A₁) = </t>
  </si>
  <si>
    <r>
      <rPr>
        <sz val="10"/>
        <rFont val="Arial"/>
        <family val="2"/>
      </rPr>
      <t xml:space="preserve">P( A₃ / B) </t>
    </r>
    <r>
      <rPr>
        <sz val="10"/>
        <color rgb="FF00A933"/>
        <rFont val="Arial"/>
        <family val="2"/>
      </rPr>
      <t xml:space="preserve">= P(A₃ ∩ B)</t>
    </r>
    <r>
      <rPr>
        <sz val="10"/>
        <rFont val="Arial"/>
        <family val="2"/>
      </rPr>
      <t xml:space="preserve"> / P(B)</t>
    </r>
  </si>
  <si>
    <t xml:space="preserve">P(A ∩ B) = P(B) P(A / B)</t>
  </si>
  <si>
    <t xml:space="preserve">P(B’/A₁ ) =0.95</t>
  </si>
  <si>
    <r>
      <rPr>
        <sz val="10"/>
        <color rgb="FF00A933"/>
        <rFont val="Arial"/>
        <family val="2"/>
      </rPr>
      <t xml:space="preserve">P(A₃) P(B/A₃)</t>
    </r>
    <r>
      <rPr>
        <sz val="10"/>
        <color rgb="FF000000"/>
        <rFont val="Arial"/>
        <family val="2"/>
      </rPr>
      <t xml:space="preserve">/P(B)</t>
    </r>
  </si>
  <si>
    <t xml:space="preserve">Ocasion</t>
  </si>
  <si>
    <t xml:space="preserve">:)</t>
  </si>
  <si>
    <t xml:space="preserve">P(A₂) = 0.3</t>
  </si>
  <si>
    <t xml:space="preserve">P(B/A₂ ) = 0,1</t>
  </si>
  <si>
    <t xml:space="preserve">P(B  ∩  A₂ ) = </t>
  </si>
  <si>
    <t xml:space="preserve">P(B’/A₂ ) = 0,9</t>
  </si>
  <si>
    <r>
      <rPr>
        <sz val="14"/>
        <rFont val="Arial"/>
        <family val="2"/>
      </rPr>
      <t xml:space="preserve">Posteriori = priori</t>
    </r>
    <r>
      <rPr>
        <sz val="10"/>
        <rFont val="Arial"/>
        <family val="2"/>
      </rPr>
      <t xml:space="preserve"> X </t>
    </r>
    <r>
      <rPr>
        <sz val="10"/>
        <color rgb="FF2A6099"/>
        <rFont val="Arial"/>
        <family val="2"/>
      </rPr>
      <t xml:space="preserve">informacion</t>
    </r>
  </si>
  <si>
    <r>
      <rPr>
        <sz val="10"/>
        <color rgb="FF000000"/>
        <rFont val="Arial"/>
        <family val="2"/>
      </rPr>
      <t xml:space="preserve">P( A₃ / B) = </t>
    </r>
    <r>
      <rPr>
        <sz val="20"/>
        <color rgb="FF000000"/>
        <rFont val="Arial"/>
        <family val="2"/>
      </rPr>
      <t xml:space="preserve">P(A₃)</t>
    </r>
    <r>
      <rPr>
        <sz val="20"/>
        <color rgb="FF2A6099"/>
        <rFont val="Arial"/>
        <family val="2"/>
      </rPr>
      <t xml:space="preserve"> </t>
    </r>
    <r>
      <rPr>
        <sz val="10"/>
        <color rgb="FF2A6099"/>
        <rFont val="Arial"/>
        <family val="2"/>
      </rPr>
      <t xml:space="preserve">P(B/A₃)/P(B)</t>
    </r>
  </si>
  <si>
    <t xml:space="preserve">Fanes</t>
  </si>
  <si>
    <t xml:space="preserve">P(A₃) = 0,1</t>
  </si>
  <si>
    <t xml:space="preserve">P(B/A₃ ) = 0,8</t>
  </si>
  <si>
    <t xml:space="preserve">P(B  ∩  A3) = </t>
  </si>
  <si>
    <t xml:space="preserve">P(B’/A₃) = 0.2</t>
  </si>
  <si>
    <t xml:space="preserve">P(B) </t>
  </si>
  <si>
    <t xml:space="preserve">Multi</t>
  </si>
  <si>
    <t xml:space="preserve">Positivo/Enfermo</t>
  </si>
  <si>
    <t xml:space="preserve">P(Enfermo ∩ +)</t>
  </si>
  <si>
    <t xml:space="preserve">Enfermo</t>
  </si>
  <si>
    <t xml:space="preserve">-/Enfermo</t>
  </si>
  <si>
    <t xml:space="preserve">Falsos positivos</t>
  </si>
  <si>
    <t xml:space="preserve">Sana</t>
  </si>
  <si>
    <t xml:space="preserve">Positivo /Sano</t>
  </si>
  <si>
    <t xml:space="preserve">P(Sano y +)</t>
  </si>
  <si>
    <t xml:space="preserve">-/Sano</t>
  </si>
  <si>
    <t xml:space="preserve">0.98</t>
  </si>
  <si>
    <t xml:space="preserve">P(+)</t>
  </si>
  <si>
    <t xml:space="preserve">P(E/+)=</t>
  </si>
  <si>
    <r>
      <rPr>
        <sz val="14"/>
        <rFont val="Arial"/>
        <family val="2"/>
      </rPr>
      <t xml:space="preserve">P(E </t>
    </r>
    <r>
      <rPr>
        <sz val="10"/>
        <rFont val="Arial"/>
        <family val="2"/>
      </rPr>
      <t xml:space="preserve">∩</t>
    </r>
    <r>
      <rPr>
        <sz val="14"/>
        <rFont val="Arial"/>
        <family val="2"/>
      </rPr>
      <t xml:space="preserve"> +) / </t>
    </r>
    <r>
      <rPr>
        <b val="true"/>
        <sz val="14"/>
        <rFont val="Arial"/>
        <family val="2"/>
      </rPr>
      <t xml:space="preserve">P(+)=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</si>
</sst>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81D41A"/>
      <name val="Arial"/>
      <family val="2"/>
    </font>
    <font>
      <sz val="10"/>
      <color rgb="FF00A933"/>
      <name val="Arial"/>
      <family val="2"/>
    </font>
    <font>
      <sz val="10"/>
      <color rgb="FF000000"/>
      <name val="Arial"/>
      <family val="2"/>
    </font>
    <font>
      <b val="true"/>
      <sz val="10"/>
      <color rgb="FF81D41A"/>
      <name val="Arial"/>
      <family val="2"/>
    </font>
    <font>
      <sz val="14"/>
      <name val="Arial"/>
      <family val="2"/>
    </font>
    <font>
      <sz val="10"/>
      <color rgb="FF2A6099"/>
      <name val="Arial"/>
      <family val="2"/>
    </font>
    <font>
      <sz val="20"/>
      <color rgb="FF000000"/>
      <name val="Arial"/>
      <family val="2"/>
    </font>
    <font>
      <sz val="20"/>
      <color rgb="FF2A6099"/>
      <name val="Arial"/>
      <family val="2"/>
    </font>
    <font>
      <b val="true"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D8CE"/>
        <bgColor rgb="FFE0C2CD"/>
      </patternFill>
    </fill>
    <fill>
      <patternFill patternType="solid">
        <fgColor rgb="FFFFFFFF"/>
        <bgColor rgb="FFFFFFCC"/>
      </patternFill>
    </fill>
    <fill>
      <patternFill patternType="solid">
        <fgColor rgb="FFB4C7DC"/>
        <bgColor rgb="FF99CCFF"/>
      </patternFill>
    </fill>
    <fill>
      <patternFill patternType="solid">
        <fgColor rgb="FFE0C2CD"/>
        <bgColor rgb="FFFFD8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100080</xdr:colOff>
      <xdr:row>2</xdr:row>
      <xdr:rowOff>121680</xdr:rowOff>
    </xdr:from>
    <xdr:to>
      <xdr:col>1</xdr:col>
      <xdr:colOff>600840</xdr:colOff>
      <xdr:row>4</xdr:row>
      <xdr:rowOff>57960</xdr:rowOff>
    </xdr:to>
    <xdr:sp>
      <xdr:nvSpPr>
        <xdr:cNvPr id="0" name="Línea 1"/>
        <xdr:cNvSpPr/>
      </xdr:nvSpPr>
      <xdr:spPr>
        <a:xfrm flipV="1">
          <a:off x="912960" y="446760"/>
          <a:ext cx="500760" cy="2613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135360</xdr:colOff>
      <xdr:row>4</xdr:row>
      <xdr:rowOff>81000</xdr:rowOff>
    </xdr:from>
    <xdr:to>
      <xdr:col>2</xdr:col>
      <xdr:colOff>32760</xdr:colOff>
      <xdr:row>6</xdr:row>
      <xdr:rowOff>80280</xdr:rowOff>
    </xdr:to>
    <xdr:sp>
      <xdr:nvSpPr>
        <xdr:cNvPr id="1" name="Línea 2"/>
        <xdr:cNvSpPr/>
      </xdr:nvSpPr>
      <xdr:spPr>
        <a:xfrm>
          <a:off x="948240" y="731160"/>
          <a:ext cx="671400" cy="3243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105840</xdr:colOff>
      <xdr:row>4</xdr:row>
      <xdr:rowOff>92520</xdr:rowOff>
    </xdr:from>
    <xdr:to>
      <xdr:col>2</xdr:col>
      <xdr:colOff>56520</xdr:colOff>
      <xdr:row>11</xdr:row>
      <xdr:rowOff>33840</xdr:rowOff>
    </xdr:to>
    <xdr:sp>
      <xdr:nvSpPr>
        <xdr:cNvPr id="2" name="Línea 3"/>
        <xdr:cNvSpPr/>
      </xdr:nvSpPr>
      <xdr:spPr>
        <a:xfrm>
          <a:off x="918720" y="742680"/>
          <a:ext cx="724680" cy="12801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653760</xdr:colOff>
      <xdr:row>2</xdr:row>
      <xdr:rowOff>5760</xdr:rowOff>
    </xdr:from>
    <xdr:to>
      <xdr:col>3</xdr:col>
      <xdr:colOff>64080</xdr:colOff>
      <xdr:row>2</xdr:row>
      <xdr:rowOff>156240</xdr:rowOff>
    </xdr:to>
    <xdr:sp>
      <xdr:nvSpPr>
        <xdr:cNvPr id="3" name="Línea 4"/>
        <xdr:cNvSpPr/>
      </xdr:nvSpPr>
      <xdr:spPr>
        <a:xfrm flipV="1">
          <a:off x="1466640" y="330840"/>
          <a:ext cx="471240" cy="1504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683280</xdr:colOff>
      <xdr:row>2</xdr:row>
      <xdr:rowOff>121680</xdr:rowOff>
    </xdr:from>
    <xdr:to>
      <xdr:col>3</xdr:col>
      <xdr:colOff>40320</xdr:colOff>
      <xdr:row>4</xdr:row>
      <xdr:rowOff>149760</xdr:rowOff>
    </xdr:to>
    <xdr:sp>
      <xdr:nvSpPr>
        <xdr:cNvPr id="4" name="Línea 5"/>
        <xdr:cNvSpPr/>
      </xdr:nvSpPr>
      <xdr:spPr>
        <a:xfrm>
          <a:off x="1496160" y="446760"/>
          <a:ext cx="417960" cy="3531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23400</xdr:colOff>
      <xdr:row>6</xdr:row>
      <xdr:rowOff>144720</xdr:rowOff>
    </xdr:from>
    <xdr:to>
      <xdr:col>3</xdr:col>
      <xdr:colOff>95760</xdr:colOff>
      <xdr:row>7</xdr:row>
      <xdr:rowOff>5040</xdr:rowOff>
    </xdr:to>
    <xdr:sp>
      <xdr:nvSpPr>
        <xdr:cNvPr id="5" name="Línea 6"/>
        <xdr:cNvSpPr/>
      </xdr:nvSpPr>
      <xdr:spPr>
        <a:xfrm flipV="1">
          <a:off x="1610280" y="1119960"/>
          <a:ext cx="359280" cy="230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35280</xdr:colOff>
      <xdr:row>7</xdr:row>
      <xdr:rowOff>17280</xdr:rowOff>
    </xdr:from>
    <xdr:to>
      <xdr:col>3</xdr:col>
      <xdr:colOff>19440</xdr:colOff>
      <xdr:row>9</xdr:row>
      <xdr:rowOff>138240</xdr:rowOff>
    </xdr:to>
    <xdr:sp>
      <xdr:nvSpPr>
        <xdr:cNvPr id="6" name="Línea 7"/>
        <xdr:cNvSpPr/>
      </xdr:nvSpPr>
      <xdr:spPr>
        <a:xfrm>
          <a:off x="1622160" y="1155240"/>
          <a:ext cx="271080" cy="4460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76680</xdr:colOff>
      <xdr:row>11</xdr:row>
      <xdr:rowOff>29160</xdr:rowOff>
    </xdr:from>
    <xdr:to>
      <xdr:col>3</xdr:col>
      <xdr:colOff>207720</xdr:colOff>
      <xdr:row>11</xdr:row>
      <xdr:rowOff>121680</xdr:rowOff>
    </xdr:to>
    <xdr:sp>
      <xdr:nvSpPr>
        <xdr:cNvPr id="7" name="Línea 8"/>
        <xdr:cNvSpPr/>
      </xdr:nvSpPr>
      <xdr:spPr>
        <a:xfrm>
          <a:off x="1663560" y="2018160"/>
          <a:ext cx="417960" cy="925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94320</xdr:colOff>
      <xdr:row>11</xdr:row>
      <xdr:rowOff>75600</xdr:rowOff>
    </xdr:from>
    <xdr:to>
      <xdr:col>3</xdr:col>
      <xdr:colOff>66600</xdr:colOff>
      <xdr:row>14</xdr:row>
      <xdr:rowOff>86040</xdr:rowOff>
    </xdr:to>
    <xdr:sp>
      <xdr:nvSpPr>
        <xdr:cNvPr id="8" name="Línea 9"/>
        <xdr:cNvSpPr/>
      </xdr:nvSpPr>
      <xdr:spPr>
        <a:xfrm>
          <a:off x="1681200" y="2064600"/>
          <a:ext cx="259200" cy="4978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"/>
  <sheetViews>
    <sheetView showFormulas="false" showGridLines="true" showRowColHeaders="true" showZeros="true" rightToLeft="false" tabSelected="true" showOutlineSymbols="true" defaultGridColor="true" view="normal" topLeftCell="A1" colorId="64" zoomScale="167" zoomScaleNormal="167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0.98"/>
    <col collapsed="false" customWidth="true" hidden="false" outlineLevel="0" max="3" min="3" style="1" width="4.07"/>
    <col collapsed="false" customWidth="true" hidden="false" outlineLevel="0" max="4" min="4" style="1" width="13.91"/>
    <col collapsed="false" customWidth="true" hidden="false" outlineLevel="0" max="5" min="5" style="1" width="9.96"/>
    <col collapsed="false" customWidth="true" hidden="false" outlineLevel="0" max="6" min="6" style="1" width="13.12"/>
    <col collapsed="false" customWidth="false" hidden="false" outlineLevel="0" max="7" min="7" style="1" width="11.53"/>
    <col collapsed="false" customWidth="true" hidden="false" outlineLevel="0" max="8" min="8" style="0" width="3.68"/>
    <col collapsed="false" customWidth="true" hidden="false" outlineLevel="0" max="9" min="9" style="0" width="25.59"/>
    <col collapsed="false" customWidth="true" hidden="false" outlineLevel="0" max="10" min="10" style="0" width="15.04"/>
    <col collapsed="false" customWidth="true" hidden="false" outlineLevel="0" max="11" min="11" style="0" width="4.5"/>
  </cols>
  <sheetData>
    <row r="1" customFormat="false" ht="12.8" hidden="false" customHeight="false" outlineLevel="0" collapsed="false">
      <c r="D1" s="1" t="s">
        <v>0</v>
      </c>
      <c r="F1" s="2" t="s">
        <v>1</v>
      </c>
      <c r="G1" s="2"/>
      <c r="L1" s="0" t="s">
        <v>2</v>
      </c>
    </row>
    <row r="2" customFormat="false" ht="12.8" hidden="false" customHeight="false" outlineLevel="0" collapsed="false">
      <c r="B2" s="1" t="s">
        <v>3</v>
      </c>
      <c r="D2" s="1" t="s">
        <v>4</v>
      </c>
      <c r="F2" s="3"/>
      <c r="L2" s="0" t="s">
        <v>5</v>
      </c>
    </row>
    <row r="3" customFormat="false" ht="12.8" hidden="false" customHeight="false" outlineLevel="0" collapsed="false">
      <c r="B3" s="4" t="s">
        <v>6</v>
      </c>
      <c r="C3" s="1" t="n">
        <v>0.6</v>
      </c>
      <c r="D3" s="5" t="s">
        <v>7</v>
      </c>
      <c r="E3" s="1" t="n">
        <v>0.05</v>
      </c>
      <c r="F3" s="1" t="s">
        <v>8</v>
      </c>
      <c r="G3" s="6" t="n">
        <f aca="false">C3*E3</f>
        <v>0.03</v>
      </c>
      <c r="I3" s="7" t="s">
        <v>9</v>
      </c>
      <c r="J3" s="8"/>
      <c r="L3" s="0" t="s">
        <v>10</v>
      </c>
    </row>
    <row r="4" customFormat="false" ht="12.8" hidden="false" customHeight="false" outlineLevel="0" collapsed="false">
      <c r="B4" s="4"/>
      <c r="D4" s="4"/>
    </row>
    <row r="5" customFormat="false" ht="12.8" hidden="false" customHeight="false" outlineLevel="0" collapsed="false">
      <c r="B5" s="4"/>
      <c r="D5" s="4" t="s">
        <v>11</v>
      </c>
      <c r="I5" s="9" t="s">
        <v>12</v>
      </c>
    </row>
    <row r="6" customFormat="false" ht="12.8" hidden="false" customHeight="false" outlineLevel="0" collapsed="false">
      <c r="B6" s="4"/>
      <c r="D6" s="4"/>
    </row>
    <row r="7" customFormat="false" ht="12.8" hidden="false" customHeight="false" outlineLevel="0" collapsed="false">
      <c r="B7" s="4" t="s">
        <v>13</v>
      </c>
      <c r="D7" s="4"/>
      <c r="I7" s="10" t="n">
        <f aca="false">0.08 / 0.14</f>
        <v>0.571428571428571</v>
      </c>
      <c r="J7" s="0" t="s">
        <v>14</v>
      </c>
    </row>
    <row r="8" customFormat="false" ht="12.8" hidden="false" customHeight="false" outlineLevel="0" collapsed="false">
      <c r="B8" s="4" t="s">
        <v>15</v>
      </c>
      <c r="C8" s="1" t="n">
        <v>0.3</v>
      </c>
      <c r="D8" s="5" t="s">
        <v>16</v>
      </c>
      <c r="E8" s="1" t="n">
        <v>0.1</v>
      </c>
      <c r="F8" s="1" t="s">
        <v>17</v>
      </c>
      <c r="G8" s="11" t="n">
        <f aca="false">C8*E8</f>
        <v>0.03</v>
      </c>
    </row>
    <row r="9" customFormat="false" ht="12.8" hidden="false" customHeight="false" outlineLevel="0" collapsed="false">
      <c r="B9" s="4"/>
      <c r="D9" s="4"/>
    </row>
    <row r="10" customFormat="false" ht="17.25" hidden="false" customHeight="false" outlineLevel="0" collapsed="false">
      <c r="B10" s="4"/>
      <c r="D10" s="4" t="s">
        <v>18</v>
      </c>
      <c r="I10" s="12" t="s">
        <v>19</v>
      </c>
    </row>
    <row r="11" customFormat="false" ht="24.15" hidden="false" customHeight="false" outlineLevel="0" collapsed="false">
      <c r="B11" s="4"/>
      <c r="D11" s="4"/>
      <c r="I11" s="13" t="s">
        <v>20</v>
      </c>
    </row>
    <row r="12" customFormat="false" ht="12.8" hidden="false" customHeight="false" outlineLevel="0" collapsed="false">
      <c r="B12" s="4" t="s">
        <v>21</v>
      </c>
      <c r="D12" s="4"/>
    </row>
    <row r="13" customFormat="false" ht="12.8" hidden="false" customHeight="false" outlineLevel="0" collapsed="false">
      <c r="B13" s="4" t="s">
        <v>22</v>
      </c>
      <c r="C13" s="1" t="n">
        <v>0.1</v>
      </c>
      <c r="D13" s="5" t="s">
        <v>23</v>
      </c>
      <c r="E13" s="1" t="n">
        <v>0.8</v>
      </c>
      <c r="F13" s="1" t="s">
        <v>24</v>
      </c>
      <c r="G13" s="14" t="n">
        <f aca="false">C13*E13</f>
        <v>0.08</v>
      </c>
    </row>
    <row r="15" customFormat="false" ht="12.8" hidden="false" customHeight="false" outlineLevel="0" collapsed="false">
      <c r="D15" s="1" t="s">
        <v>25</v>
      </c>
      <c r="F15" s="4" t="s">
        <v>26</v>
      </c>
      <c r="G15" s="4" t="n">
        <f aca="false">SUM(G3:G13)</f>
        <v>0.14</v>
      </c>
    </row>
    <row r="16" customFormat="false" ht="12.8" hidden="false" customHeight="false" outlineLevel="0" collapsed="false">
      <c r="F16" s="0"/>
      <c r="G16" s="0"/>
    </row>
    <row r="20" customFormat="false" ht="12.8" hidden="false" customHeight="false" outlineLevel="0" collapsed="false">
      <c r="B20" s="4" t="n">
        <v>1</v>
      </c>
    </row>
  </sheetData>
  <mergeCells count="1">
    <mergeCell ref="F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5"/>
  <sheetViews>
    <sheetView showFormulas="false" showGridLines="true" showRowColHeaders="true" showZeros="true" rightToLeft="false" tabSelected="false" showOutlineSymbols="true" defaultGridColor="true" view="normal" topLeftCell="B2" colorId="64" zoomScale="167" zoomScaleNormal="167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9.67"/>
    <col collapsed="false" customWidth="false" hidden="false" outlineLevel="0" max="7" min="7" style="1" width="11.53"/>
  </cols>
  <sheetData>
    <row r="1" customFormat="false" ht="12.8" hidden="false" customHeight="false" outlineLevel="0" collapsed="false">
      <c r="H1" s="0" t="s">
        <v>27</v>
      </c>
    </row>
    <row r="2" customFormat="false" ht="12.8" hidden="false" customHeight="false" outlineLevel="0" collapsed="false">
      <c r="E2" s="15" t="s">
        <v>28</v>
      </c>
      <c r="G2" s="1" t="n">
        <v>0.99</v>
      </c>
      <c r="H2" s="0" t="n">
        <f aca="false">C4*G2</f>
        <v>0.00099</v>
      </c>
      <c r="I2" s="0" t="s">
        <v>29</v>
      </c>
    </row>
    <row r="4" customFormat="false" ht="12.8" hidden="false" customHeight="false" outlineLevel="0" collapsed="false">
      <c r="B4" s="0" t="s">
        <v>30</v>
      </c>
      <c r="C4" s="0" t="n">
        <f aca="false">1/1000</f>
        <v>0.001</v>
      </c>
    </row>
    <row r="5" customFormat="false" ht="12.8" hidden="false" customHeight="false" outlineLevel="0" collapsed="false">
      <c r="E5" s="0" t="s">
        <v>31</v>
      </c>
    </row>
    <row r="9" customFormat="false" ht="12.8" hidden="false" customHeight="false" outlineLevel="0" collapsed="false">
      <c r="E9" s="0" t="s">
        <v>32</v>
      </c>
    </row>
    <row r="10" customFormat="false" ht="12.8" hidden="false" customHeight="false" outlineLevel="0" collapsed="false">
      <c r="B10" s="0" t="s">
        <v>33</v>
      </c>
      <c r="C10" s="0" t="n">
        <f aca="false"> 1-C4</f>
        <v>0.999</v>
      </c>
      <c r="E10" s="15" t="s">
        <v>34</v>
      </c>
      <c r="G10" s="1" t="n">
        <v>0.02</v>
      </c>
      <c r="H10" s="0" t="n">
        <f aca="false">C10*G10</f>
        <v>0.01998</v>
      </c>
      <c r="I10" s="0" t="s">
        <v>35</v>
      </c>
    </row>
    <row r="12" customFormat="false" ht="12.8" hidden="false" customHeight="false" outlineLevel="0" collapsed="false">
      <c r="E12" s="0" t="s">
        <v>36</v>
      </c>
      <c r="G12" s="1" t="s">
        <v>37</v>
      </c>
    </row>
    <row r="14" customFormat="false" ht="12.8" hidden="false" customHeight="false" outlineLevel="0" collapsed="false">
      <c r="H14" s="15" t="n">
        <f aca="false">H2+H10</f>
        <v>0.02097</v>
      </c>
      <c r="I14" s="15" t="s">
        <v>38</v>
      </c>
    </row>
    <row r="15" customFormat="false" ht="17.4" hidden="false" customHeight="false" outlineLevel="0" collapsed="false">
      <c r="C15" s="16" t="s">
        <v>39</v>
      </c>
      <c r="D15" s="16" t="s">
        <v>40</v>
      </c>
      <c r="E15" s="16" t="n">
        <f aca="false">H2/H14</f>
        <v>0.0472103004291845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2025-06-24T18:05:20Z</dcterms:created>
  <dc:creator/>
  <dc:description/>
  <dc:language>es-CO</dc:language>
  <cp:lastModifiedBy/>
  <dcterms:modified xsi:type="dcterms:W3CDTF">2025-06-24T19:46:44Z</dcterms:modified>
  <cp:revision>3</cp:revision>
  <dc:subject/>
  <dc:title/>
</cp:coreProperties>
</file>